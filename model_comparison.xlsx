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D:\Workspace\CTU\Final_LuanVan\"/>
    </mc:Choice>
  </mc:AlternateContent>
  <xr:revisionPtr revIDLastSave="0" documentId="13_ncr:1_{9B2D100C-DEE5-4F92-9DF3-165CD5E5CB5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AFDB" sheetId="1" r:id="rId1"/>
    <sheet name="FER201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F3" i="2"/>
  <c r="F15" i="2"/>
  <c r="F4" i="2"/>
  <c r="F16" i="2"/>
  <c r="F5" i="2"/>
  <c r="F17" i="2"/>
  <c r="F6" i="2"/>
  <c r="F18" i="2"/>
  <c r="F7" i="2"/>
  <c r="F19" i="2"/>
  <c r="F8" i="2"/>
  <c r="F20" i="2"/>
  <c r="F9" i="2"/>
  <c r="F21" i="2"/>
  <c r="F10" i="2"/>
  <c r="F22" i="2"/>
  <c r="F11" i="2"/>
  <c r="F23" i="2"/>
  <c r="F12" i="2"/>
  <c r="F24" i="2"/>
  <c r="F13" i="2"/>
  <c r="F25" i="2"/>
  <c r="F2" i="2"/>
  <c r="F2" i="1"/>
  <c r="F15" i="1"/>
  <c r="F3" i="1"/>
  <c r="F16" i="1"/>
  <c r="F4" i="1"/>
  <c r="F17" i="1"/>
  <c r="F5" i="1"/>
  <c r="F18" i="1"/>
  <c r="F6" i="1"/>
  <c r="F19" i="1"/>
  <c r="F7" i="1"/>
  <c r="F8" i="1"/>
  <c r="F20" i="1"/>
  <c r="F9" i="1"/>
  <c r="F21" i="1"/>
  <c r="F10" i="1"/>
  <c r="F22" i="1"/>
  <c r="F11" i="1"/>
  <c r="F23" i="1"/>
  <c r="F12" i="1"/>
  <c r="F24" i="1"/>
  <c r="F13" i="1"/>
  <c r="F25" i="1"/>
  <c r="F14" i="1"/>
</calcChain>
</file>

<file path=xl/sharedStrings.xml><?xml version="1.0" encoding="utf-8"?>
<sst xmlns="http://schemas.openxmlformats.org/spreadsheetml/2006/main" count="250" uniqueCount="234">
  <si>
    <t>Accuracy</t>
  </si>
  <si>
    <t>Precision</t>
  </si>
  <si>
    <t>Recall</t>
  </si>
  <si>
    <t>F1-score</t>
  </si>
  <si>
    <t>DenseNet121_RAFDB</t>
  </si>
  <si>
    <t>0.8385 ± 0.0381</t>
  </si>
  <si>
    <t>0.7770 ± 0.0254</t>
  </si>
  <si>
    <t>0.7809 ± 0.0450</t>
  </si>
  <si>
    <t>0.7739 ± 0.0396</t>
  </si>
  <si>
    <t>DenseNet121_vs1</t>
  </si>
  <si>
    <t>0.8029 ± 0.0696</t>
  </si>
  <si>
    <t>0.7406 ± 0.0448</t>
  </si>
  <si>
    <t>0.7356 ± 0.0764</t>
  </si>
  <si>
    <t>0.7288 ± 0.0704</t>
  </si>
  <si>
    <t>DenseNet169_RAFDB</t>
  </si>
  <si>
    <t>0.8116 ± 0.0622</t>
  </si>
  <si>
    <t>0.7476 ± 0.0524</t>
  </si>
  <si>
    <t>0.7287 ± 0.0619</t>
  </si>
  <si>
    <t>0.7299 ± 0.0706</t>
  </si>
  <si>
    <t>DenseNet169_vs1</t>
  </si>
  <si>
    <t>0.8014 ± 0.0632</t>
  </si>
  <si>
    <t>0.7362 ± 0.0517</t>
  </si>
  <si>
    <t>0.7221 ± 0.0686</t>
  </si>
  <si>
    <t>0.7220 ± 0.0673</t>
  </si>
  <si>
    <t>EfficientNetB0_RAFDB</t>
  </si>
  <si>
    <t>0.7816 ± 0.0397</t>
  </si>
  <si>
    <t>0.7229 ± 0.0239</t>
  </si>
  <si>
    <t>0.6957 ± 0.0436</t>
  </si>
  <si>
    <t>0.7006 ± 0.0388</t>
  </si>
  <si>
    <t>EfficientNetB0_vs1</t>
  </si>
  <si>
    <t>0.8289 ± 0.0382</t>
  </si>
  <si>
    <t>0.7512 ± 0.0253</t>
  </si>
  <si>
    <t>0.7648 ± 0.0533</t>
  </si>
  <si>
    <t>0.7521 ± 0.0414</t>
  </si>
  <si>
    <t>EfficientNetB1_RAFDB</t>
  </si>
  <si>
    <t>0.7936 ± 0.0932</t>
  </si>
  <si>
    <t>0.7429 ± 0.0782</t>
  </si>
  <si>
    <t>0.7228 ± 0.0659</t>
  </si>
  <si>
    <t>0.7191 ± 0.0970</t>
  </si>
  <si>
    <t>EfficientNetB1_vs1</t>
  </si>
  <si>
    <t>0.7260 ± 0.1224</t>
  </si>
  <si>
    <t>0.6610 ± 0.1056</t>
  </si>
  <si>
    <t>0.6364 ± 0.1105</t>
  </si>
  <si>
    <t>0.6397 ± 0.1202</t>
  </si>
  <si>
    <t>EfficientNetB2_RAFDB</t>
  </si>
  <si>
    <t>0.8079 ± 0.0333</t>
  </si>
  <si>
    <t>0.7392 ± 0.0196</t>
  </si>
  <si>
    <t>0.7324 ± 0.0404</t>
  </si>
  <si>
    <t>0.7297 ± 0.0328</t>
  </si>
  <si>
    <t>EfficientNetB2_vs1</t>
  </si>
  <si>
    <t>0.8421 ± 0.0324</t>
  </si>
  <si>
    <t>0.7681 ± 0.0225</t>
  </si>
  <si>
    <t>0.7776 ± 0.0430</t>
  </si>
  <si>
    <t>0.7692 ± 0.0348</t>
  </si>
  <si>
    <t>EfficientNetB3_RAFDB</t>
  </si>
  <si>
    <t>0.8487 ± 0.0292</t>
  </si>
  <si>
    <t>0.7619 ± 0.0207</t>
  </si>
  <si>
    <t>0.7926 ± 0.0392</t>
  </si>
  <si>
    <t>0.7727 ± 0.0320</t>
  </si>
  <si>
    <t>EfficientNetB4_RAFDB</t>
  </si>
  <si>
    <t>0.8388 ± 0.0261</t>
  </si>
  <si>
    <t>0.7487 ± 0.0152</t>
  </si>
  <si>
    <t>0.7806 ± 0.0387</t>
  </si>
  <si>
    <t>0.7582 ± 0.0290</t>
  </si>
  <si>
    <t>EfficientNetB4_vs1</t>
  </si>
  <si>
    <t>0.8461 ± 0.0278</t>
  </si>
  <si>
    <t>0.7540 ± 0.0143</t>
  </si>
  <si>
    <t>0.7979 ± 0.0405</t>
  </si>
  <si>
    <t>0.7684 ± 0.0258</t>
  </si>
  <si>
    <t>MobileNetV2_RAFDB</t>
  </si>
  <si>
    <t>0.8102 ± 0.0482</t>
  </si>
  <si>
    <t>0.7365 ± 0.0302</t>
  </si>
  <si>
    <t>0.7366 ± 0.0573</t>
  </si>
  <si>
    <t>0.7315 ± 0.0486</t>
  </si>
  <si>
    <t>MobileNetV2_vs1</t>
  </si>
  <si>
    <t>0.8068 ± 0.0512</t>
  </si>
  <si>
    <t>0.7408 ± 0.0341</t>
  </si>
  <si>
    <t>0.7384 ± 0.0645</t>
  </si>
  <si>
    <t>0.7332 ± 0.0561</t>
  </si>
  <si>
    <t>MobileNetV3_RAFDB</t>
  </si>
  <si>
    <t>0.8183 ± 0.0422</t>
  </si>
  <si>
    <t>0.7465 ± 0.0302</t>
  </si>
  <si>
    <t>0.7512 ± 0.0531</t>
  </si>
  <si>
    <t>0.7442 ± 0.0457</t>
  </si>
  <si>
    <t>MobileNetV3_vs1</t>
  </si>
  <si>
    <t>0.8203 ± 0.0383</t>
  </si>
  <si>
    <t>0.7474 ± 0.0209</t>
  </si>
  <si>
    <t>0.7510 ± 0.0485</t>
  </si>
  <si>
    <t>0.7443 ± 0.0396</t>
  </si>
  <si>
    <t>ResNet152_RAFDB</t>
  </si>
  <si>
    <t>0.8306 ± 0.0637</t>
  </si>
  <si>
    <t>0.7633 ± 0.0473</t>
  </si>
  <si>
    <t>0.7804 ± 0.0606</t>
  </si>
  <si>
    <t>0.7658 ± 0.0632</t>
  </si>
  <si>
    <t>ResNet152_vs1</t>
  </si>
  <si>
    <t>0.8100 ± 0.0813</t>
  </si>
  <si>
    <t>0.7412 ± 0.0574</t>
  </si>
  <si>
    <t>0.7430 ± 0.0878</t>
  </si>
  <si>
    <t>0.7349 ± 0.0817</t>
  </si>
  <si>
    <t>ResNet50_RAFDB</t>
  </si>
  <si>
    <t>0.8266 ± 0.0522</t>
  </si>
  <si>
    <t>0.7556 ± 0.0333</t>
  </si>
  <si>
    <t>0.7598 ± 0.0525</t>
  </si>
  <si>
    <t>0.7534 ± 0.0515</t>
  </si>
  <si>
    <t>ResNet50_vs1</t>
  </si>
  <si>
    <t>0.8016 ± 0.0724</t>
  </si>
  <si>
    <t>0.7364 ± 0.0523</t>
  </si>
  <si>
    <t>0.7221 ± 0.0731</t>
  </si>
  <si>
    <t>0.7242 ± 0.0702</t>
  </si>
  <si>
    <t>vit_base_patch16_224_RAFDB</t>
  </si>
  <si>
    <t>0.8423 ± 0.0242</t>
  </si>
  <si>
    <t>0.7574 ± 0.0154</t>
  </si>
  <si>
    <t>0.7649 ± 0.0306</t>
  </si>
  <si>
    <t>0.7590 ± 0.0253</t>
  </si>
  <si>
    <t>vit_base_patch16_224_vs1</t>
  </si>
  <si>
    <t>0.8426 ± 0.0323</t>
  </si>
  <si>
    <t>0.7670 ± 0.0211</t>
  </si>
  <si>
    <t>0.7730 ± 0.0416</t>
  </si>
  <si>
    <t>0.7669 ± 0.0344</t>
  </si>
  <si>
    <t>vit_base_patch16_224_vs2</t>
  </si>
  <si>
    <t>0.8469 ± 0.0359</t>
  </si>
  <si>
    <t>0.7657 ± 0.0144</t>
  </si>
  <si>
    <t>0.7867 ± 0.0424</t>
  </si>
  <si>
    <t>0.7699 ± 0.0328</t>
  </si>
  <si>
    <t>DenseNet121_FER2013</t>
  </si>
  <si>
    <t>0.6669 ± 0.0319</t>
  </si>
  <si>
    <t>0.6532 ± 0.0284</t>
  </si>
  <si>
    <t>0.6677 ± 0.0489</t>
  </si>
  <si>
    <t>0.6547 ± 0.0447</t>
  </si>
  <si>
    <t>0.6501 ± 0.0497</t>
  </si>
  <si>
    <t>0.6177 ± 0.0436</t>
  </si>
  <si>
    <t>0.6371 ± 0.0660</t>
  </si>
  <si>
    <t>0.6188 ± 0.0581</t>
  </si>
  <si>
    <t>DenseNet169_FER2013</t>
  </si>
  <si>
    <t>0.6638 ± 0.0444</t>
  </si>
  <si>
    <t>0.6519 ± 0.0408</t>
  </si>
  <si>
    <t>0.6657 ± 0.0561</t>
  </si>
  <si>
    <t>0.6530 ± 0.0550</t>
  </si>
  <si>
    <t>0.6626 ± 0.0381</t>
  </si>
  <si>
    <t>0.6511 ± 0.0393</t>
  </si>
  <si>
    <t>0.6602 ± 0.0518</t>
  </si>
  <si>
    <t>0.6499 ± 0.0532</t>
  </si>
  <si>
    <t>EfficientNetB0_FER2013</t>
  </si>
  <si>
    <t>0.6788 ± 0.0224</t>
  </si>
  <si>
    <t>0.6637 ± 0.0192</t>
  </si>
  <si>
    <t>0.6863 ± 0.0323</t>
  </si>
  <si>
    <t>0.6713 ± 0.0282</t>
  </si>
  <si>
    <t>0.6730 ± 0.0247</t>
  </si>
  <si>
    <t>0.6582 ± 0.0206</t>
  </si>
  <si>
    <t>0.6775 ± 0.0414</t>
  </si>
  <si>
    <t>0.6627 ± 0.0354</t>
  </si>
  <si>
    <t>EfficientNetB1_FER2013</t>
  </si>
  <si>
    <t>0.6559 ± 0.0498</t>
  </si>
  <si>
    <t>0.6454 ± 0.0403</t>
  </si>
  <si>
    <t>0.6541 ± 0.0547</t>
  </si>
  <si>
    <t>0.6437 ± 0.0604</t>
  </si>
  <si>
    <t>0.6370 ± 0.0783</t>
  </si>
  <si>
    <t>0.6259 ± 0.0753</t>
  </si>
  <si>
    <t>0.6359 ± 0.0868</t>
  </si>
  <si>
    <t>0.6259 ± 0.0891</t>
  </si>
  <si>
    <t>EfficientNetB2_FER2013</t>
  </si>
  <si>
    <t>0.6864 ± 0.0177</t>
  </si>
  <si>
    <t>0.6665 ± 0.0168</t>
  </si>
  <si>
    <t>0.6960 ± 0.0269</t>
  </si>
  <si>
    <t>0.6775 ± 0.0222</t>
  </si>
  <si>
    <t>0.6775 ± 0.0307</t>
  </si>
  <si>
    <t>0.6657 ± 0.0227</t>
  </si>
  <si>
    <t>0.6841 ± 0.0462</t>
  </si>
  <si>
    <t>0.6701 ± 0.0390</t>
  </si>
  <si>
    <t>EfficientNetB3_FER2013</t>
  </si>
  <si>
    <t>0.6921 ± 0.0181</t>
  </si>
  <si>
    <t>0.6723 ± 0.0131</t>
  </si>
  <si>
    <t>0.7081 ± 0.0285</t>
  </si>
  <si>
    <t>0.6851 ± 0.0224</t>
  </si>
  <si>
    <t>EfficientNetB3_vs1</t>
  </si>
  <si>
    <t>0.6854 ± 0.0219</t>
  </si>
  <si>
    <t>0.6666 ± 0.0190</t>
  </si>
  <si>
    <t>0.6949 ± 0.0339</t>
  </si>
  <si>
    <t>0.6766 ± 0.0275</t>
  </si>
  <si>
    <t>EfficientNetB4_FER2013</t>
  </si>
  <si>
    <t>0.6924 ± 0.0163</t>
  </si>
  <si>
    <t>0.6686 ± 0.0120</t>
  </si>
  <si>
    <t>0.7062 ± 0.0207</t>
  </si>
  <si>
    <t>0.6827 ± 0.0159</t>
  </si>
  <si>
    <t>0.6935 ± 0.0187</t>
  </si>
  <si>
    <t>0.6706 ± 0.0147</t>
  </si>
  <si>
    <t>0.7033 ± 0.0289</t>
  </si>
  <si>
    <t>0.6823 ± 0.0230</t>
  </si>
  <si>
    <t>MobileNetV2_FER2013</t>
  </si>
  <si>
    <t>0.6643 ± 0.0230</t>
  </si>
  <si>
    <t>0.6472 ± 0.0177</t>
  </si>
  <si>
    <t>0.6732 ± 0.0396</t>
  </si>
  <si>
    <t>0.6543 ± 0.0325</t>
  </si>
  <si>
    <t>0.6553 ± 0.0262</t>
  </si>
  <si>
    <t>0.6402 ± 0.0231</t>
  </si>
  <si>
    <t>0.6586 ± 0.0464</t>
  </si>
  <si>
    <t>0.6440 ± 0.0387</t>
  </si>
  <si>
    <t>MobileNetV3_FER2013</t>
  </si>
  <si>
    <t>0.6804 ± 0.0283</t>
  </si>
  <si>
    <t>0.6650 ± 0.0248</t>
  </si>
  <si>
    <t>0.6820 ± 0.0374</t>
  </si>
  <si>
    <t>0.6697 ± 0.0356</t>
  </si>
  <si>
    <t>0.6708 ± 0.0251</t>
  </si>
  <si>
    <t>0.6554 ± 0.0259</t>
  </si>
  <si>
    <t>0.6767 ± 0.0368</t>
  </si>
  <si>
    <t>0.6619 ± 0.0333</t>
  </si>
  <si>
    <t>ResNet152_FER2013</t>
  </si>
  <si>
    <t>0.6713 ± 0.0381</t>
  </si>
  <si>
    <t>0.6539 ± 0.0333</t>
  </si>
  <si>
    <t>0.6822 ± 0.0494</t>
  </si>
  <si>
    <t>0.6609 ± 0.0477</t>
  </si>
  <si>
    <t>0.6647 ± 0.0468</t>
  </si>
  <si>
    <t>0.6487 ± 0.0444</t>
  </si>
  <si>
    <t>0.6626 ± 0.0656</t>
  </si>
  <si>
    <t>0.6504 ± 0.0598</t>
  </si>
  <si>
    <t>ResNet50_FER2013</t>
  </si>
  <si>
    <t>0.6783 ± 0.0256</t>
  </si>
  <si>
    <t>0.6646 ± 0.0226</t>
  </si>
  <si>
    <t>0.6896 ± 0.0365</t>
  </si>
  <si>
    <t>0.6724 ± 0.0352</t>
  </si>
  <si>
    <t>0.5563 ± 0.0858</t>
  </si>
  <si>
    <t>0.5558 ± 0.0891</t>
  </si>
  <si>
    <t>0.5159 ± 0.0783</t>
  </si>
  <si>
    <t>0.5223 ± 0.0923</t>
  </si>
  <si>
    <t>vit_base_patch16_224_FER2013</t>
  </si>
  <si>
    <t>0.7067 ± 0.0162</t>
  </si>
  <si>
    <t>0.6834 ± 0.0149</t>
  </si>
  <si>
    <t>0.7081 ± 0.0204</t>
  </si>
  <si>
    <t>0.6919 ± 0.0179</t>
  </si>
  <si>
    <t>0.7067 ± 0.0154</t>
  </si>
  <si>
    <t>0.6840 ± 0.0127</t>
  </si>
  <si>
    <t>0.7075 ± 0.0247</t>
  </si>
  <si>
    <t>0.6925 ± 0.0196</t>
  </si>
  <si>
    <t>Loại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</si>
</sst>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5"/>
  <sheetViews>
    <sheetView tabSelected="1" workbookViewId="0">
      <selection activeCell="F3" sqref="F3"/>
    </sheetView>
  </sheetViews>
  <sheetFormatPr defaultRowHeight="14.4" x14ac:dyDescent="0.3"/>
  <cols>
    <col min="1" max="1" width="26.77734375" bestFit="1" customWidth="1"/>
    <col min="5" max="5" width="14.109375" bestFit="1" customWidth="1"/>
  </cols>
  <sheetData>
    <row r="1" spans="1:6" x14ac:dyDescent="0.3">
      <c r="B1" s="1" t="s">
        <v>0</v>
      </c>
      <c r="C1" s="1" t="s">
        <v>1</v>
      </c>
      <c r="D1" s="1" t="s">
        <v>2</v>
      </c>
      <c r="E1" s="1" t="s">
        <v>3</v>
      </c>
      <c r="F1" s="2" t="s">
        <v>233</v>
      </c>
    </row>
    <row r="2" spans="1:6" x14ac:dyDescent="0.3">
      <c r="A2" s="1" t="s">
        <v>4</v>
      </c>
      <c r="B2" t="s">
        <v>5</v>
      </c>
      <c r="C2" t="s">
        <v>6</v>
      </c>
      <c r="D2" t="s">
        <v>7</v>
      </c>
      <c r="E2" t="s">
        <v>8</v>
      </c>
      <c r="F2" t="str">
        <f>IF(ISNUMBER(SEARCH("vs1",A2)),"vs1","Khác")</f>
        <v>Khác</v>
      </c>
    </row>
    <row r="3" spans="1:6" x14ac:dyDescent="0.3">
      <c r="A3" s="1" t="s">
        <v>14</v>
      </c>
      <c r="B3" t="s">
        <v>15</v>
      </c>
      <c r="C3" t="s">
        <v>16</v>
      </c>
      <c r="D3" t="s">
        <v>17</v>
      </c>
      <c r="E3" t="s">
        <v>18</v>
      </c>
      <c r="F3" t="str">
        <f>IF(ISNUMBER(SEARCH("vs1",A3)),"vs1","Khác")</f>
        <v>Khác</v>
      </c>
    </row>
    <row r="4" spans="1:6" x14ac:dyDescent="0.3">
      <c r="A4" s="1" t="s">
        <v>24</v>
      </c>
      <c r="B4" t="s">
        <v>25</v>
      </c>
      <c r="C4" t="s">
        <v>26</v>
      </c>
      <c r="D4" t="s">
        <v>27</v>
      </c>
      <c r="E4" t="s">
        <v>28</v>
      </c>
      <c r="F4" t="str">
        <f>IF(ISNUMBER(SEARCH("vs1",A4)),"vs1","Khác")</f>
        <v>Khác</v>
      </c>
    </row>
    <row r="5" spans="1:6" x14ac:dyDescent="0.3">
      <c r="A5" s="1" t="s">
        <v>34</v>
      </c>
      <c r="B5" t="s">
        <v>35</v>
      </c>
      <c r="C5" t="s">
        <v>36</v>
      </c>
      <c r="D5" t="s">
        <v>37</v>
      </c>
      <c r="E5" t="s">
        <v>38</v>
      </c>
      <c r="F5" t="str">
        <f>IF(ISNUMBER(SEARCH("vs1",A5)),"vs1","Khác")</f>
        <v>Khác</v>
      </c>
    </row>
    <row r="6" spans="1:6" x14ac:dyDescent="0.3">
      <c r="A6" s="1" t="s">
        <v>44</v>
      </c>
      <c r="B6" t="s">
        <v>45</v>
      </c>
      <c r="C6" t="s">
        <v>46</v>
      </c>
      <c r="D6" t="s">
        <v>47</v>
      </c>
      <c r="E6" t="s">
        <v>48</v>
      </c>
      <c r="F6" t="str">
        <f>IF(ISNUMBER(SEARCH("vs1",A6)),"vs1","Khác")</f>
        <v>Khác</v>
      </c>
    </row>
    <row r="7" spans="1:6" x14ac:dyDescent="0.3">
      <c r="A7" s="1" t="s">
        <v>54</v>
      </c>
      <c r="B7" t="s">
        <v>55</v>
      </c>
      <c r="C7" t="s">
        <v>56</v>
      </c>
      <c r="D7" t="s">
        <v>57</v>
      </c>
      <c r="E7" t="s">
        <v>58</v>
      </c>
      <c r="F7" t="str">
        <f>IF(ISNUMBER(SEARCH("vs1",A7)),"vs1","Khác")</f>
        <v>Khác</v>
      </c>
    </row>
    <row r="8" spans="1:6" x14ac:dyDescent="0.3">
      <c r="A8" s="1" t="s">
        <v>59</v>
      </c>
      <c r="B8" t="s">
        <v>60</v>
      </c>
      <c r="C8" t="s">
        <v>61</v>
      </c>
      <c r="D8" t="s">
        <v>62</v>
      </c>
      <c r="E8" t="s">
        <v>63</v>
      </c>
      <c r="F8" t="str">
        <f>IF(ISNUMBER(SEARCH("vs1",A8)),"vs1","Khác")</f>
        <v>Khác</v>
      </c>
    </row>
    <row r="9" spans="1:6" x14ac:dyDescent="0.3">
      <c r="A9" s="1" t="s">
        <v>69</v>
      </c>
      <c r="B9" t="s">
        <v>70</v>
      </c>
      <c r="C9" t="s">
        <v>71</v>
      </c>
      <c r="D9" t="s">
        <v>72</v>
      </c>
      <c r="E9" t="s">
        <v>73</v>
      </c>
      <c r="F9" t="str">
        <f>IF(ISNUMBER(SEARCH("vs1",A9)),"vs1","Khác")</f>
        <v>Khác</v>
      </c>
    </row>
    <row r="10" spans="1:6" x14ac:dyDescent="0.3">
      <c r="A10" s="1" t="s">
        <v>79</v>
      </c>
      <c r="B10" t="s">
        <v>80</v>
      </c>
      <c r="C10" t="s">
        <v>81</v>
      </c>
      <c r="D10" t="s">
        <v>82</v>
      </c>
      <c r="E10" t="s">
        <v>83</v>
      </c>
      <c r="F10" t="str">
        <f>IF(ISNUMBER(SEARCH("vs1",A10)),"vs1","Khác")</f>
        <v>Khác</v>
      </c>
    </row>
    <row r="11" spans="1:6" x14ac:dyDescent="0.3">
      <c r="A11" s="1" t="s">
        <v>89</v>
      </c>
      <c r="B11" t="s">
        <v>90</v>
      </c>
      <c r="C11" t="s">
        <v>91</v>
      </c>
      <c r="D11" t="s">
        <v>92</v>
      </c>
      <c r="E11" t="s">
        <v>93</v>
      </c>
      <c r="F11" t="str">
        <f>IF(ISNUMBER(SEARCH("vs1",A11)),"vs1","Khác")</f>
        <v>Khác</v>
      </c>
    </row>
    <row r="12" spans="1:6" x14ac:dyDescent="0.3">
      <c r="A12" s="1" t="s">
        <v>99</v>
      </c>
      <c r="B12" t="s">
        <v>100</v>
      </c>
      <c r="C12" t="s">
        <v>101</v>
      </c>
      <c r="D12" t="s">
        <v>102</v>
      </c>
      <c r="E12" t="s">
        <v>103</v>
      </c>
      <c r="F12" t="str">
        <f>IF(ISNUMBER(SEARCH("vs1",A12)),"vs1","Khác")</f>
        <v>Khác</v>
      </c>
    </row>
    <row r="13" spans="1:6" x14ac:dyDescent="0.3">
      <c r="A13" s="1" t="s">
        <v>109</v>
      </c>
      <c r="B13" t="s">
        <v>110</v>
      </c>
      <c r="C13" t="s">
        <v>111</v>
      </c>
      <c r="D13" t="s">
        <v>112</v>
      </c>
      <c r="E13" t="s">
        <v>113</v>
      </c>
      <c r="F13" t="str">
        <f>IF(ISNUMBER(SEARCH("vs1",A13)),"vs1","Khác")</f>
        <v>Khác</v>
      </c>
    </row>
    <row r="14" spans="1:6" x14ac:dyDescent="0.3">
      <c r="A14" s="1" t="s">
        <v>119</v>
      </c>
      <c r="B14" t="s">
        <v>120</v>
      </c>
      <c r="C14" t="s">
        <v>121</v>
      </c>
      <c r="D14" t="s">
        <v>122</v>
      </c>
      <c r="E14" t="s">
        <v>123</v>
      </c>
      <c r="F14" t="str">
        <f>IF(ISNUMBER(SEARCH("vs1",A14)),"vs1","Khác")</f>
        <v>Khác</v>
      </c>
    </row>
    <row r="15" spans="1:6" x14ac:dyDescent="0.3">
      <c r="A15" s="1" t="s">
        <v>9</v>
      </c>
      <c r="B15" t="s">
        <v>10</v>
      </c>
      <c r="C15" t="s">
        <v>11</v>
      </c>
      <c r="D15" t="s">
        <v>12</v>
      </c>
      <c r="E15" t="s">
        <v>13</v>
      </c>
      <c r="F15" t="str">
        <f>IF(ISNUMBER(SEARCH("vs1",A15)),"vs1","Khác")</f>
        <v>vs1</v>
      </c>
    </row>
    <row r="16" spans="1:6" x14ac:dyDescent="0.3">
      <c r="A16" s="1" t="s">
        <v>19</v>
      </c>
      <c r="B16" t="s">
        <v>20</v>
      </c>
      <c r="C16" t="s">
        <v>21</v>
      </c>
      <c r="D16" t="s">
        <v>22</v>
      </c>
      <c r="E16" t="s">
        <v>23</v>
      </c>
      <c r="F16" t="str">
        <f>IF(ISNUMBER(SEARCH("vs1",A16)),"vs1","Khác")</f>
        <v>vs1</v>
      </c>
    </row>
    <row r="17" spans="1:6" x14ac:dyDescent="0.3">
      <c r="A17" s="1" t="s">
        <v>29</v>
      </c>
      <c r="B17" t="s">
        <v>30</v>
      </c>
      <c r="C17" t="s">
        <v>31</v>
      </c>
      <c r="D17" t="s">
        <v>32</v>
      </c>
      <c r="E17" t="s">
        <v>33</v>
      </c>
      <c r="F17" t="str">
        <f>IF(ISNUMBER(SEARCH("vs1",A17)),"vs1","Khác")</f>
        <v>vs1</v>
      </c>
    </row>
    <row r="18" spans="1:6" x14ac:dyDescent="0.3">
      <c r="A18" s="1" t="s">
        <v>39</v>
      </c>
      <c r="B18" t="s">
        <v>40</v>
      </c>
      <c r="C18" t="s">
        <v>41</v>
      </c>
      <c r="D18" t="s">
        <v>42</v>
      </c>
      <c r="E18" t="s">
        <v>43</v>
      </c>
      <c r="F18" t="str">
        <f>IF(ISNUMBER(SEARCH("vs1",A18)),"vs1","Khác")</f>
        <v>vs1</v>
      </c>
    </row>
    <row r="19" spans="1:6" x14ac:dyDescent="0.3">
      <c r="A19" s="1" t="s">
        <v>49</v>
      </c>
      <c r="B19" t="s">
        <v>50</v>
      </c>
      <c r="C19" t="s">
        <v>51</v>
      </c>
      <c r="D19" t="s">
        <v>52</v>
      </c>
      <c r="E19" t="s">
        <v>53</v>
      </c>
      <c r="F19" t="str">
        <f>IF(ISNUMBER(SEARCH("vs1",A19)),"vs1","Khác")</f>
        <v>vs1</v>
      </c>
    </row>
    <row r="20" spans="1:6" x14ac:dyDescent="0.3">
      <c r="A20" s="1" t="s">
        <v>64</v>
      </c>
      <c r="B20" t="s">
        <v>65</v>
      </c>
      <c r="C20" t="s">
        <v>66</v>
      </c>
      <c r="D20" t="s">
        <v>67</v>
      </c>
      <c r="E20" t="s">
        <v>68</v>
      </c>
      <c r="F20" t="str">
        <f>IF(ISNUMBER(SEARCH("vs1",A20)),"vs1","Khác")</f>
        <v>vs1</v>
      </c>
    </row>
    <row r="21" spans="1:6" x14ac:dyDescent="0.3">
      <c r="A21" s="1" t="s">
        <v>74</v>
      </c>
      <c r="B21" t="s">
        <v>75</v>
      </c>
      <c r="C21" t="s">
        <v>76</v>
      </c>
      <c r="D21" t="s">
        <v>77</v>
      </c>
      <c r="E21" t="s">
        <v>78</v>
      </c>
      <c r="F21" t="str">
        <f>IF(ISNUMBER(SEARCH("vs1",A21)),"vs1","Khác")</f>
        <v>vs1</v>
      </c>
    </row>
    <row r="22" spans="1:6" x14ac:dyDescent="0.3">
      <c r="A22" s="1" t="s">
        <v>84</v>
      </c>
      <c r="B22" t="s">
        <v>85</v>
      </c>
      <c r="C22" t="s">
        <v>86</v>
      </c>
      <c r="D22" t="s">
        <v>87</v>
      </c>
      <c r="E22" t="s">
        <v>88</v>
      </c>
      <c r="F22" t="str">
        <f>IF(ISNUMBER(SEARCH("vs1",A22)),"vs1","Khác")</f>
        <v>vs1</v>
      </c>
    </row>
    <row r="23" spans="1:6" x14ac:dyDescent="0.3">
      <c r="A23" s="1" t="s">
        <v>94</v>
      </c>
      <c r="B23" t="s">
        <v>95</v>
      </c>
      <c r="C23" t="s">
        <v>96</v>
      </c>
      <c r="D23" t="s">
        <v>97</v>
      </c>
      <c r="E23" t="s">
        <v>98</v>
      </c>
      <c r="F23" t="str">
        <f>IF(ISNUMBER(SEARCH("vs1",A23)),"vs1","Khác")</f>
        <v>vs1</v>
      </c>
    </row>
    <row r="24" spans="1:6" x14ac:dyDescent="0.3">
      <c r="A24" s="1" t="s">
        <v>104</v>
      </c>
      <c r="B24" t="s">
        <v>105</v>
      </c>
      <c r="C24" t="s">
        <v>106</v>
      </c>
      <c r="D24" t="s">
        <v>107</v>
      </c>
      <c r="E24" t="s">
        <v>108</v>
      </c>
      <c r="F24" t="str">
        <f>IF(ISNUMBER(SEARCH("vs1",A24)),"vs1","Khác")</f>
        <v>vs1</v>
      </c>
    </row>
    <row r="25" spans="1:6" x14ac:dyDescent="0.3">
      <c r="A25" s="1" t="s">
        <v>114</v>
      </c>
      <c r="B25" t="s">
        <v>115</v>
      </c>
      <c r="C25" t="s">
        <v>116</v>
      </c>
      <c r="D25" t="s">
        <v>117</v>
      </c>
      <c r="E25" t="s">
        <v>118</v>
      </c>
      <c r="F25" t="str">
        <f>IF(ISNUMBER(SEARCH("vs1",A25)),"vs1","Khác")</f>
        <v>vs1</v>
      </c>
    </row>
  </sheetData>
  <sortState xmlns:xlrd2="http://schemas.microsoft.com/office/spreadsheetml/2017/richdata2" ref="A2:F25">
    <sortCondition ref="F2:F25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"/>
  <sheetViews>
    <sheetView workbookViewId="0">
      <selection activeCell="H15" sqref="H15"/>
    </sheetView>
  </sheetViews>
  <sheetFormatPr defaultRowHeight="14.4" x14ac:dyDescent="0.3"/>
  <cols>
    <col min="1" max="1" width="28.21875" bestFit="1" customWidth="1"/>
    <col min="2" max="2" width="14.109375" bestFit="1" customWidth="1"/>
    <col min="4" max="5" width="14.109375" bestFit="1" customWidth="1"/>
  </cols>
  <sheetData>
    <row r="1" spans="1:6" x14ac:dyDescent="0.3">
      <c r="B1" s="1" t="s">
        <v>0</v>
      </c>
      <c r="C1" s="1" t="s">
        <v>1</v>
      </c>
      <c r="D1" s="1" t="s">
        <v>2</v>
      </c>
      <c r="E1" s="1" t="s">
        <v>3</v>
      </c>
      <c r="F1" s="2" t="s">
        <v>233</v>
      </c>
    </row>
    <row r="2" spans="1:6" x14ac:dyDescent="0.3">
      <c r="A2" s="1" t="s">
        <v>124</v>
      </c>
      <c r="B2" t="s">
        <v>125</v>
      </c>
      <c r="C2" t="s">
        <v>126</v>
      </c>
      <c r="D2" t="s">
        <v>127</v>
      </c>
      <c r="E2" t="s">
        <v>128</v>
      </c>
      <c r="F2" t="str">
        <f>IF(ISNUMBER(SEARCH("vs1",A2)),"vs1","Khác")</f>
        <v>Khác</v>
      </c>
    </row>
    <row r="3" spans="1:6" x14ac:dyDescent="0.3">
      <c r="A3" s="1" t="s">
        <v>133</v>
      </c>
      <c r="B3" t="s">
        <v>134</v>
      </c>
      <c r="C3" t="s">
        <v>135</v>
      </c>
      <c r="D3" t="s">
        <v>136</v>
      </c>
      <c r="E3" t="s">
        <v>137</v>
      </c>
      <c r="F3" t="str">
        <f>IF(ISNUMBER(SEARCH("vs1",A3)),"vs1","Khác")</f>
        <v>Khác</v>
      </c>
    </row>
    <row r="4" spans="1:6" x14ac:dyDescent="0.3">
      <c r="A4" s="1" t="s">
        <v>142</v>
      </c>
      <c r="B4" t="s">
        <v>143</v>
      </c>
      <c r="C4" t="s">
        <v>144</v>
      </c>
      <c r="D4" t="s">
        <v>145</v>
      </c>
      <c r="E4" t="s">
        <v>146</v>
      </c>
      <c r="F4" t="str">
        <f>IF(ISNUMBER(SEARCH("vs1",A4)),"vs1","Khác")</f>
        <v>Khác</v>
      </c>
    </row>
    <row r="5" spans="1:6" x14ac:dyDescent="0.3">
      <c r="A5" s="1" t="s">
        <v>151</v>
      </c>
      <c r="B5" t="s">
        <v>152</v>
      </c>
      <c r="C5" t="s">
        <v>153</v>
      </c>
      <c r="D5" t="s">
        <v>154</v>
      </c>
      <c r="E5" t="s">
        <v>155</v>
      </c>
      <c r="F5" t="str">
        <f>IF(ISNUMBER(SEARCH("vs1",A5)),"vs1","Khác")</f>
        <v>Khác</v>
      </c>
    </row>
    <row r="6" spans="1:6" x14ac:dyDescent="0.3">
      <c r="A6" s="1" t="s">
        <v>160</v>
      </c>
      <c r="B6" t="s">
        <v>161</v>
      </c>
      <c r="C6" t="s">
        <v>162</v>
      </c>
      <c r="D6" t="s">
        <v>163</v>
      </c>
      <c r="E6" t="s">
        <v>164</v>
      </c>
      <c r="F6" t="str">
        <f>IF(ISNUMBER(SEARCH("vs1",A6)),"vs1","Khác")</f>
        <v>Khác</v>
      </c>
    </row>
    <row r="7" spans="1:6" x14ac:dyDescent="0.3">
      <c r="A7" s="1" t="s">
        <v>169</v>
      </c>
      <c r="B7" t="s">
        <v>170</v>
      </c>
      <c r="C7" t="s">
        <v>171</v>
      </c>
      <c r="D7" t="s">
        <v>172</v>
      </c>
      <c r="E7" t="s">
        <v>173</v>
      </c>
      <c r="F7" t="str">
        <f>IF(ISNUMBER(SEARCH("vs1",A7)),"vs1","Khác")</f>
        <v>Khác</v>
      </c>
    </row>
    <row r="8" spans="1:6" x14ac:dyDescent="0.3">
      <c r="A8" s="1" t="s">
        <v>179</v>
      </c>
      <c r="B8" t="s">
        <v>180</v>
      </c>
      <c r="C8" t="s">
        <v>181</v>
      </c>
      <c r="D8" t="s">
        <v>182</v>
      </c>
      <c r="E8" t="s">
        <v>183</v>
      </c>
      <c r="F8" t="str">
        <f>IF(ISNUMBER(SEARCH("vs1",A8)),"vs1","Khác")</f>
        <v>Khác</v>
      </c>
    </row>
    <row r="9" spans="1:6" x14ac:dyDescent="0.3">
      <c r="A9" s="1" t="s">
        <v>188</v>
      </c>
      <c r="B9" t="s">
        <v>189</v>
      </c>
      <c r="C9" t="s">
        <v>190</v>
      </c>
      <c r="D9" t="s">
        <v>191</v>
      </c>
      <c r="E9" t="s">
        <v>192</v>
      </c>
      <c r="F9" t="str">
        <f>IF(ISNUMBER(SEARCH("vs1",A9)),"vs1","Khác")</f>
        <v>Khác</v>
      </c>
    </row>
    <row r="10" spans="1:6" x14ac:dyDescent="0.3">
      <c r="A10" s="1" t="s">
        <v>197</v>
      </c>
      <c r="B10" t="s">
        <v>198</v>
      </c>
      <c r="C10" t="s">
        <v>199</v>
      </c>
      <c r="D10" t="s">
        <v>200</v>
      </c>
      <c r="E10" t="s">
        <v>201</v>
      </c>
      <c r="F10" t="str">
        <f>IF(ISNUMBER(SEARCH("vs1",A10)),"vs1","Khác")</f>
        <v>Khác</v>
      </c>
    </row>
    <row r="11" spans="1:6" x14ac:dyDescent="0.3">
      <c r="A11" s="1" t="s">
        <v>206</v>
      </c>
      <c r="B11" t="s">
        <v>207</v>
      </c>
      <c r="C11" t="s">
        <v>208</v>
      </c>
      <c r="D11" t="s">
        <v>209</v>
      </c>
      <c r="E11" t="s">
        <v>210</v>
      </c>
      <c r="F11" t="str">
        <f>IF(ISNUMBER(SEARCH("vs1",A11)),"vs1","Khác")</f>
        <v>Khác</v>
      </c>
    </row>
    <row r="12" spans="1:6" x14ac:dyDescent="0.3">
      <c r="A12" s="1" t="s">
        <v>215</v>
      </c>
      <c r="B12" t="s">
        <v>216</v>
      </c>
      <c r="C12" t="s">
        <v>217</v>
      </c>
      <c r="D12" t="s">
        <v>218</v>
      </c>
      <c r="E12" t="s">
        <v>219</v>
      </c>
      <c r="F12" t="str">
        <f>IF(ISNUMBER(SEARCH("vs1",A12)),"vs1","Khác")</f>
        <v>Khác</v>
      </c>
    </row>
    <row r="13" spans="1:6" x14ac:dyDescent="0.3">
      <c r="A13" s="1" t="s">
        <v>224</v>
      </c>
      <c r="B13" t="s">
        <v>225</v>
      </c>
      <c r="C13" t="s">
        <v>226</v>
      </c>
      <c r="D13" t="s">
        <v>227</v>
      </c>
      <c r="E13" t="s">
        <v>228</v>
      </c>
      <c r="F13" t="str">
        <f>IF(ISNUMBER(SEARCH("vs1",A13)),"vs1","Khác")</f>
        <v>Khác</v>
      </c>
    </row>
    <row r="14" spans="1:6" x14ac:dyDescent="0.3">
      <c r="A14" s="1" t="s">
        <v>9</v>
      </c>
      <c r="B14" t="s">
        <v>129</v>
      </c>
      <c r="C14" t="s">
        <v>130</v>
      </c>
      <c r="D14" t="s">
        <v>131</v>
      </c>
      <c r="E14" t="s">
        <v>132</v>
      </c>
      <c r="F14" t="str">
        <f>IF(ISNUMBER(SEARCH("vs1",A14)),"vs1","Khác")</f>
        <v>vs1</v>
      </c>
    </row>
    <row r="15" spans="1:6" x14ac:dyDescent="0.3">
      <c r="A15" s="1" t="s">
        <v>19</v>
      </c>
      <c r="B15" t="s">
        <v>138</v>
      </c>
      <c r="C15" t="s">
        <v>139</v>
      </c>
      <c r="D15" t="s">
        <v>140</v>
      </c>
      <c r="E15" t="s">
        <v>141</v>
      </c>
      <c r="F15" t="str">
        <f>IF(ISNUMBER(SEARCH("vs1",A15)),"vs1","Khác")</f>
        <v>vs1</v>
      </c>
    </row>
    <row r="16" spans="1:6" x14ac:dyDescent="0.3">
      <c r="A16" s="1" t="s">
        <v>29</v>
      </c>
      <c r="B16" t="s">
        <v>147</v>
      </c>
      <c r="C16" t="s">
        <v>148</v>
      </c>
      <c r="D16" t="s">
        <v>149</v>
      </c>
      <c r="E16" t="s">
        <v>150</v>
      </c>
      <c r="F16" t="str">
        <f>IF(ISNUMBER(SEARCH("vs1",A16)),"vs1","Khác")</f>
        <v>vs1</v>
      </c>
    </row>
    <row r="17" spans="1:6" x14ac:dyDescent="0.3">
      <c r="A17" s="1" t="s">
        <v>39</v>
      </c>
      <c r="B17" t="s">
        <v>156</v>
      </c>
      <c r="C17" t="s">
        <v>157</v>
      </c>
      <c r="D17" t="s">
        <v>158</v>
      </c>
      <c r="E17" t="s">
        <v>159</v>
      </c>
      <c r="F17" t="str">
        <f>IF(ISNUMBER(SEARCH("vs1",A17)),"vs1","Khác")</f>
        <v>vs1</v>
      </c>
    </row>
    <row r="18" spans="1:6" x14ac:dyDescent="0.3">
      <c r="A18" s="1" t="s">
        <v>49</v>
      </c>
      <c r="B18" t="s">
        <v>165</v>
      </c>
      <c r="C18" t="s">
        <v>166</v>
      </c>
      <c r="D18" t="s">
        <v>167</v>
      </c>
      <c r="E18" t="s">
        <v>168</v>
      </c>
      <c r="F18" t="str">
        <f>IF(ISNUMBER(SEARCH("vs1",A18)),"vs1","Khác")</f>
        <v>vs1</v>
      </c>
    </row>
    <row r="19" spans="1:6" x14ac:dyDescent="0.3">
      <c r="A19" s="1" t="s">
        <v>174</v>
      </c>
      <c r="B19" t="s">
        <v>175</v>
      </c>
      <c r="C19" t="s">
        <v>176</v>
      </c>
      <c r="D19" t="s">
        <v>177</v>
      </c>
      <c r="E19" t="s">
        <v>178</v>
      </c>
      <c r="F19" t="str">
        <f>IF(ISNUMBER(SEARCH("vs1",A19)),"vs1","Khác")</f>
        <v>vs1</v>
      </c>
    </row>
    <row r="20" spans="1:6" x14ac:dyDescent="0.3">
      <c r="A20" s="1" t="s">
        <v>64</v>
      </c>
      <c r="B20" t="s">
        <v>184</v>
      </c>
      <c r="C20" t="s">
        <v>185</v>
      </c>
      <c r="D20" t="s">
        <v>186</v>
      </c>
      <c r="E20" t="s">
        <v>187</v>
      </c>
      <c r="F20" t="str">
        <f>IF(ISNUMBER(SEARCH("vs1",A20)),"vs1","Khác")</f>
        <v>vs1</v>
      </c>
    </row>
    <row r="21" spans="1:6" x14ac:dyDescent="0.3">
      <c r="A21" s="1" t="s">
        <v>74</v>
      </c>
      <c r="B21" t="s">
        <v>193</v>
      </c>
      <c r="C21" t="s">
        <v>194</v>
      </c>
      <c r="D21" t="s">
        <v>195</v>
      </c>
      <c r="E21" t="s">
        <v>196</v>
      </c>
      <c r="F21" t="str">
        <f>IF(ISNUMBER(SEARCH("vs1",A21)),"vs1","Khác")</f>
        <v>vs1</v>
      </c>
    </row>
    <row r="22" spans="1:6" x14ac:dyDescent="0.3">
      <c r="A22" s="1" t="s">
        <v>84</v>
      </c>
      <c r="B22" t="s">
        <v>202</v>
      </c>
      <c r="C22" t="s">
        <v>203</v>
      </c>
      <c r="D22" t="s">
        <v>204</v>
      </c>
      <c r="E22" t="s">
        <v>205</v>
      </c>
      <c r="F22" t="str">
        <f>IF(ISNUMBER(SEARCH("vs1",A22)),"vs1","Khác")</f>
        <v>vs1</v>
      </c>
    </row>
    <row r="23" spans="1:6" x14ac:dyDescent="0.3">
      <c r="A23" s="1" t="s">
        <v>94</v>
      </c>
      <c r="B23" t="s">
        <v>211</v>
      </c>
      <c r="C23" t="s">
        <v>212</v>
      </c>
      <c r="D23" t="s">
        <v>213</v>
      </c>
      <c r="E23" t="s">
        <v>214</v>
      </c>
      <c r="F23" t="str">
        <f>IF(ISNUMBER(SEARCH("vs1",A23)),"vs1","Khác")</f>
        <v>vs1</v>
      </c>
    </row>
    <row r="24" spans="1:6" x14ac:dyDescent="0.3">
      <c r="A24" s="1" t="s">
        <v>104</v>
      </c>
      <c r="B24" t="s">
        <v>220</v>
      </c>
      <c r="C24" t="s">
        <v>221</v>
      </c>
      <c r="D24" t="s">
        <v>222</v>
      </c>
      <c r="E24" t="s">
        <v>223</v>
      </c>
      <c r="F24" t="str">
        <f>IF(ISNUMBER(SEARCH("vs1",A24)),"vs1","Khác")</f>
        <v>vs1</v>
      </c>
    </row>
    <row r="25" spans="1:6" x14ac:dyDescent="0.3">
      <c r="A25" s="1" t="s">
        <v>114</v>
      </c>
      <c r="B25" t="s">
        <v>229</v>
      </c>
      <c r="C25" t="s">
        <v>230</v>
      </c>
      <c r="D25" t="s">
        <v>231</v>
      </c>
      <c r="E25" t="s">
        <v>232</v>
      </c>
      <c r="F25" t="str">
        <f>IF(ISNUMBER(SEARCH("vs1",A25)),"vs1","Khác")</f>
        <v>vs1</v>
      </c>
    </row>
  </sheetData>
  <sortState xmlns:xlrd2="http://schemas.microsoft.com/office/spreadsheetml/2017/richdata2" ref="A2:F25">
    <sortCondition ref="F2:F25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RAFDB</vt:lpstr>
      <vt:lpstr>FER2013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Việt Nguyễn</cp:lastModifiedBy>
  <dcterms:created xsi:type="dcterms:W3CDTF">2025-04-01T05:59:38Z</dcterms:created>
  <dcterms:modified xsi:type="dcterms:W3CDTF">2025-04-01T07:59:18Z</dcterms:modified>
</cp:coreProperties>
</file>